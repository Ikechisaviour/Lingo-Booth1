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hort Quote" sheetId="2" state="visible" r:id="rId4"/>
    <sheet name="Two-Track Pilo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<sst xmlns="http://schemas.openxmlformats.org/spreadsheetml/2006/main" count="54" uniqueCount="52">
  <si>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 xml:space="preserve">Kumoh pilot quote. Editable inputs are highlighted yellow; all figures recalculate automatically.</t>
  </si>
  <si>
    <t xml:space="preserve">Input</t>
  </si>
  <si>
    <t xml:space="preserve">Value</t>
  </si>
  <si>
    <t xml:space="preserve">Notes</t>
  </si>
  <si>
    <t xml:space="preserve">Semester length (months)</t>
  </si>
  <si>
    <t xml:space="preserve">Korean evening-class semester runs September to December.</t>
  </si>
  <si>
    <t xml:space="preserve">Seats needed per student</t>
  </si>
  <si>
    <t xml:space="preserve">One seat = one 30-day voucher; one per student per month of the semester.</t>
  </si>
  <si>
    <t xml:space="preserve">Institution Plus - price/seat (10-99)</t>
  </si>
  <si>
    <t xml:space="preserve">From billingPlans.js: derived from individual Plus monthly price.</t>
  </si>
  <si>
    <t xml:space="preserve">Institution Plus - price/seat (100+)</t>
  </si>
  <si>
    <t xml:space="preserve">Bulk tier at 100+ seats.</t>
  </si>
  <si>
    <t xml:space="preserve">Institution Pro - price/seat (10-99)</t>
  </si>
  <si>
    <t xml:space="preserve">From billingPlans.js: derived from individual Pro monthly price.</t>
  </si>
  <si>
    <t xml:space="preserve">Institution Pro - price/seat (100+)</t>
  </si>
  <si>
    <t xml:space="preserve">Institution Plus - minimum seats</t>
  </si>
  <si>
    <t xml:space="preserve">Plan minimum.</t>
  </si>
  <si>
    <t xml:space="preserve">Institution Pro - minimum seats</t>
  </si>
  <si>
    <t xml:space="preserve">Plan minimum (all institution tiers are 10).</t>
  </si>
  <si>
    <t xml:space="preserve">Founding-partner pilot discount</t>
  </si>
  <si>
    <t xml:space="preserve">Recommended first-semester discount. ADJUST to your decision.</t>
  </si>
  <si>
    <t xml:space="preserve">USD -&gt; KRW (approx.)</t>
  </si>
  <si>
    <t xml:space="preserve">For reference only; confirm current rate before quoting.</t>
  </si>
  <si>
    <t xml:space="preserve">Quote by Cohort Size (one semester)</t>
  </si>
  <si>
    <t xml:space="preserve">Seats = students x semester months. Per-seat price uses the bulk tier for the seat count; all tiers have a 10-seat minimum.</t>
  </si>
  <si>
    <t xml:space="preserve">Students</t>
  </si>
  <si>
    <t xml:space="preserve">Seats needed
(students x semester)</t>
  </si>
  <si>
    <t xml:space="preserve">PLUS
seats billed</t>
  </si>
  <si>
    <t xml:space="preserve">PLUS
$/seat</t>
  </si>
  <si>
    <t xml:space="preserve">PLUS
list total</t>
  </si>
  <si>
    <t xml:space="preserve">PLUS
after discount</t>
  </si>
  <si>
    <t xml:space="preserve">PRO
seats billed</t>
  </si>
  <si>
    <t xml:space="preserve">PRO
$/seat</t>
  </si>
  <si>
    <t xml:space="preserve">PRO
list total</t>
  </si>
  <si>
    <t xml:space="preserve">PRO
after discount</t>
  </si>
  <si>
    <t xml:space="preserve">PRO total
(KRW approx.)</t>
  </si>
  <si>
    <t xml:space="preserve">Recommended tier: Institution Pro - it includes instructor progress reports and classroom tools the coordinators need to see results. Institution Plus is the budget option but has no progress reports.</t>
  </si>
  <si>
    <t xml:space="preserve">Two-Track Fall Pilot</t>
  </si>
  <si>
    <t xml:space="preserve">Adjust the yellow inputs (students and seats per student) for each track. Institution Pro tier; 50% founding-partner discount from Assumptions.</t>
  </si>
  <si>
    <t xml:space="preserve">Track</t>
  </si>
  <si>
    <t xml:space="preserve">Seats/student</t>
  </si>
  <si>
    <t xml:space="preserve">Seats</t>
  </si>
  <si>
    <t xml:space="preserve">$/seat</t>
  </si>
  <si>
    <t xml:space="preserve">List</t>
  </si>
  <si>
    <t xml:space="preserve">After 50%</t>
  </si>
  <si>
    <t xml:space="preserve">Evening classes (4 months)</t>
  </si>
  <si>
    <t xml:space="preserve">Korean Language Program (6 months)</t>
  </si>
  <si>
    <t xml:space="preserve">Total</t>
  </si>
  <si>
    <t xml:space="preserve">Evening - per student (after discount)</t>
  </si>
  <si>
    <t xml:space="preserve">Language - per student (after discount)</t>
  </si>
  <si>
    <t xml:space="preserve">Institution Plus - combined list (alternative)</t>
  </si>
  <si>
    <t xml:space="preserve">Institution Plus - combined after discount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</si>
</sst>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#,##0"/>
    <numFmt numFmtId="168" formatCode="\₩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12402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402A"/>
        <bgColor rgb="FF333333"/>
      </patternFill>
    </fill>
    <fill>
      <patternFill patternType="solid">
        <fgColor rgb="FFFFF2CC"/>
        <bgColor rgb="FFEAF3DC"/>
      </patternFill>
    </fill>
    <fill>
      <patternFill patternType="solid">
        <fgColor rgb="FFF2F2F2"/>
        <bgColor rgb="FFEAF3DC"/>
      </patternFill>
    </fill>
    <fill>
      <patternFill patternType="solid">
        <fgColor rgb="FFEAF3D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240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1428480</xdr:colOff>
      <xdr:row>0</xdr:row>
      <xdr:rowOff>323640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428480" cy="32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4"/>
  </cols>
  <sheetData>
    <row r="1" customFormat="false" ht="36" hidden="false" customHeight="true" outlineLevel="0" collapsed="false"/>
    <row r="2" customFormat="false" ht="1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3" t="s">
        <v>4</v>
      </c>
      <c r="B5" s="4" t="n">
        <v>4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f aca="false">B5</f>
        <v>4</v>
      </c>
      <c r="C6" s="5" t="s">
        <v>7</v>
      </c>
    </row>
    <row r="7" customFormat="false" ht="15" hidden="false" customHeight="false" outlineLevel="0" collapsed="false">
      <c r="A7" s="3" t="s">
        <v>8</v>
      </c>
      <c r="B7" s="6" t="n">
        <v>8.99</v>
      </c>
      <c r="C7" s="5" t="s">
        <v>9</v>
      </c>
    </row>
    <row r="8" customFormat="false" ht="15" hidden="false" customHeight="false" outlineLevel="0" collapsed="false">
      <c r="A8" s="3" t="s">
        <v>10</v>
      </c>
      <c r="B8" s="6" t="n">
        <v>8.54</v>
      </c>
      <c r="C8" s="5" t="s">
        <v>11</v>
      </c>
    </row>
    <row r="9" customFormat="false" ht="15" hidden="false" customHeight="false" outlineLevel="0" collapsed="false">
      <c r="A9" s="3" t="s">
        <v>12</v>
      </c>
      <c r="B9" s="6" t="n">
        <v>17.99</v>
      </c>
      <c r="C9" s="5" t="s">
        <v>13</v>
      </c>
    </row>
    <row r="10" customFormat="false" ht="15" hidden="false" customHeight="false" outlineLevel="0" collapsed="false">
      <c r="A10" s="3" t="s">
        <v>14</v>
      </c>
      <c r="B10" s="6" t="n">
        <v>17.09</v>
      </c>
      <c r="C10" s="5" t="s">
        <v>11</v>
      </c>
    </row>
    <row r="11" customFormat="false" ht="15" hidden="false" customHeight="false" outlineLevel="0" collapsed="false">
      <c r="A11" s="3" t="s">
        <v>15</v>
      </c>
      <c r="B11" s="4" t="n">
        <v>10</v>
      </c>
      <c r="C11" s="5" t="s">
        <v>16</v>
      </c>
    </row>
    <row r="12" customFormat="false" ht="15" hidden="false" customHeight="false" outlineLevel="0" collapsed="false">
      <c r="A12" s="3" t="s">
        <v>17</v>
      </c>
      <c r="B12" s="4" t="n">
        <v>10</v>
      </c>
      <c r="C12" s="5" t="s">
        <v>18</v>
      </c>
    </row>
    <row r="13" customFormat="false" ht="15" hidden="false" customHeight="false" outlineLevel="0" collapsed="false">
      <c r="A13" s="3" t="s">
        <v>19</v>
      </c>
      <c r="B13" s="7" t="n">
        <v>0.5</v>
      </c>
      <c r="C13" s="5" t="s">
        <v>20</v>
      </c>
    </row>
    <row r="14" customFormat="false" ht="15" hidden="false" customHeight="false" outlineLevel="0" collapsed="false">
      <c r="A14" s="3" t="s">
        <v>21</v>
      </c>
      <c r="B14" s="8" t="n">
        <v>1380</v>
      </c>
      <c r="C14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9" t="s">
        <v>23</v>
      </c>
    </row>
    <row r="2" customFormat="false" ht="15" hidden="false" customHeight="false" outlineLevel="0" collapsed="false">
      <c r="A2" s="1" t="s">
        <v>24</v>
      </c>
    </row>
    <row r="4" customFormat="false" ht="39.5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</row>
    <row r="5" customFormat="false" ht="15" hidden="false" customHeight="false" outlineLevel="0" collapsed="false">
      <c r="A5" s="10" t="n">
        <v>3</v>
      </c>
      <c r="B5" s="10" t="n">
        <f aca="false">A5*Assumptions!$B$5</f>
        <v>12</v>
      </c>
      <c r="C5" s="10" t="n">
        <f aca="false">MAX(B5,Assumptions!$B$11)</f>
        <v>12</v>
      </c>
      <c r="D5" s="11" t="n">
        <f aca="false">IF(C5&gt;=100,Assumptions!$B$8,Assumptions!$B$7)</f>
        <v>8.99</v>
      </c>
      <c r="E5" s="11" t="n">
        <f aca="false">C5*D5</f>
        <v>107.88</v>
      </c>
      <c r="F5" s="11" t="n">
        <f aca="false">E5*(1-Assumptions!$B$13)</f>
        <v>53.94</v>
      </c>
      <c r="G5" s="10" t="n">
        <f aca="false">MAX(B5,Assumptions!$B$12)</f>
        <v>12</v>
      </c>
      <c r="H5" s="11" t="n">
        <f aca="false">IF(G5&gt;=100,Assumptions!$B$10,Assumptions!$B$9)</f>
        <v>17.99</v>
      </c>
      <c r="I5" s="11" t="n">
        <f aca="false">G5*H5</f>
        <v>215.88</v>
      </c>
      <c r="J5" s="11" t="n">
        <f aca="false">I5*(1-Assumptions!$B$13)</f>
        <v>107.94</v>
      </c>
      <c r="K5" s="12" t="n">
        <f aca="false">J5*Assumptions!$B$14</f>
        <v>148957.2</v>
      </c>
    </row>
    <row r="6" customFormat="false" ht="15" hidden="false" customHeight="false" outlineLevel="0" collapsed="false">
      <c r="A6" s="13" t="n">
        <v>5</v>
      </c>
      <c r="B6" s="13" t="n">
        <f aca="false">A6*Assumptions!$B$5</f>
        <v>20</v>
      </c>
      <c r="C6" s="13" t="n">
        <f aca="false">MAX(B6,Assumptions!$B$11)</f>
        <v>20</v>
      </c>
      <c r="D6" s="14" t="n">
        <f aca="false">IF(C6&gt;=100,Assumptions!$B$8,Assumptions!$B$7)</f>
        <v>8.99</v>
      </c>
      <c r="E6" s="14" t="n">
        <f aca="false">C6*D6</f>
        <v>179.8</v>
      </c>
      <c r="F6" s="14" t="n">
        <f aca="false">E6*(1-Assumptions!$B$13)</f>
        <v>89.9</v>
      </c>
      <c r="G6" s="13" t="n">
        <f aca="false">MAX(B6,Assumptions!$B$12)</f>
        <v>20</v>
      </c>
      <c r="H6" s="14" t="n">
        <f aca="false">IF(G6&gt;=100,Assumptions!$B$10,Assumptions!$B$9)</f>
        <v>17.99</v>
      </c>
      <c r="I6" s="14" t="n">
        <f aca="false">G6*H6</f>
        <v>359.8</v>
      </c>
      <c r="J6" s="14" t="n">
        <f aca="false">I6*(1-Assumptions!$B$13)</f>
        <v>179.9</v>
      </c>
      <c r="K6" s="15" t="n">
        <f aca="false">J6*Assumptions!$B$14</f>
        <v>248262</v>
      </c>
    </row>
    <row r="7" customFormat="false" ht="15" hidden="false" customHeight="false" outlineLevel="0" collapsed="false">
      <c r="A7" s="10" t="n">
        <v>10</v>
      </c>
      <c r="B7" s="10" t="n">
        <f aca="false">A7*Assumptions!$B$5</f>
        <v>40</v>
      </c>
      <c r="C7" s="10" t="n">
        <f aca="false">MAX(B7,Assumptions!$B$11)</f>
        <v>40</v>
      </c>
      <c r="D7" s="11" t="n">
        <f aca="false">IF(C7&gt;=100,Assumptions!$B$8,Assumptions!$B$7)</f>
        <v>8.99</v>
      </c>
      <c r="E7" s="11" t="n">
        <f aca="false">C7*D7</f>
        <v>359.6</v>
      </c>
      <c r="F7" s="11" t="n">
        <f aca="false">E7*(1-Assumptions!$B$13)</f>
        <v>179.8</v>
      </c>
      <c r="G7" s="10" t="n">
        <f aca="false">MAX(B7,Assumptions!$B$12)</f>
        <v>40</v>
      </c>
      <c r="H7" s="11" t="n">
        <f aca="false">IF(G7&gt;=100,Assumptions!$B$10,Assumptions!$B$9)</f>
        <v>17.99</v>
      </c>
      <c r="I7" s="11" t="n">
        <f aca="false">G7*H7</f>
        <v>719.6</v>
      </c>
      <c r="J7" s="11" t="n">
        <f aca="false">I7*(1-Assumptions!$B$13)</f>
        <v>359.8</v>
      </c>
      <c r="K7" s="12" t="n">
        <f aca="false">J7*Assumptions!$B$14</f>
        <v>496524</v>
      </c>
    </row>
    <row r="8" customFormat="false" ht="15" hidden="false" customHeight="false" outlineLevel="0" collapsed="false">
      <c r="A8" s="13" t="n">
        <v>15</v>
      </c>
      <c r="B8" s="13" t="n">
        <f aca="false">A8*Assumptions!$B$5</f>
        <v>60</v>
      </c>
      <c r="C8" s="13" t="n">
        <f aca="false">MAX(B8,Assumptions!$B$11)</f>
        <v>60</v>
      </c>
      <c r="D8" s="14" t="n">
        <f aca="false">IF(C8&gt;=100,Assumptions!$B$8,Assumptions!$B$7)</f>
        <v>8.99</v>
      </c>
      <c r="E8" s="14" t="n">
        <f aca="false">C8*D8</f>
        <v>539.4</v>
      </c>
      <c r="F8" s="14" t="n">
        <f aca="false">E8*(1-Assumptions!$B$13)</f>
        <v>269.7</v>
      </c>
      <c r="G8" s="13" t="n">
        <f aca="false">MAX(B8,Assumptions!$B$12)</f>
        <v>60</v>
      </c>
      <c r="H8" s="14" t="n">
        <f aca="false">IF(G8&gt;=100,Assumptions!$B$10,Assumptions!$B$9)</f>
        <v>17.99</v>
      </c>
      <c r="I8" s="14" t="n">
        <f aca="false">G8*H8</f>
        <v>1079.4</v>
      </c>
      <c r="J8" s="14" t="n">
        <f aca="false">I8*(1-Assumptions!$B$13)</f>
        <v>539.7</v>
      </c>
      <c r="K8" s="15" t="n">
        <f aca="false">J8*Assumptions!$B$14</f>
        <v>744786</v>
      </c>
    </row>
    <row r="9" customFormat="false" ht="15" hidden="false" customHeight="false" outlineLevel="0" collapsed="false">
      <c r="A9" s="10" t="n">
        <v>25</v>
      </c>
      <c r="B9" s="10" t="n">
        <f aca="false">A9*Assumptions!$B$5</f>
        <v>100</v>
      </c>
      <c r="C9" s="10" t="n">
        <f aca="false">MAX(B9,Assumptions!$B$11)</f>
        <v>100</v>
      </c>
      <c r="D9" s="11" t="n">
        <f aca="false">IF(C9&gt;=100,Assumptions!$B$8,Assumptions!$B$7)</f>
        <v>8.54</v>
      </c>
      <c r="E9" s="11" t="n">
        <f aca="false">C9*D9</f>
        <v>854</v>
      </c>
      <c r="F9" s="11" t="n">
        <f aca="false">E9*(1-Assumptions!$B$13)</f>
        <v>427</v>
      </c>
      <c r="G9" s="10" t="n">
        <f aca="false">MAX(B9,Assumptions!$B$12)</f>
        <v>100</v>
      </c>
      <c r="H9" s="11" t="n">
        <f aca="false">IF(G9&gt;=100,Assumptions!$B$10,Assumptions!$B$9)</f>
        <v>17.09</v>
      </c>
      <c r="I9" s="11" t="n">
        <f aca="false">G9*H9</f>
        <v>1709</v>
      </c>
      <c r="J9" s="11" t="n">
        <f aca="false">I9*(1-Assumptions!$B$13)</f>
        <v>854.5</v>
      </c>
      <c r="K9" s="12" t="n">
        <f aca="false">J9*Assumptions!$B$14</f>
        <v>1179210</v>
      </c>
    </row>
    <row r="10" customFormat="false" ht="15" hidden="false" customHeight="false" outlineLevel="0" collapsed="false">
      <c r="A10" s="13" t="n">
        <v>40</v>
      </c>
      <c r="B10" s="13" t="n">
        <f aca="false">A10*Assumptions!$B$5</f>
        <v>160</v>
      </c>
      <c r="C10" s="13" t="n">
        <f aca="false">MAX(B10,Assumptions!$B$11)</f>
        <v>160</v>
      </c>
      <c r="D10" s="14" t="n">
        <f aca="false">IF(C10&gt;=100,Assumptions!$B$8,Assumptions!$B$7)</f>
        <v>8.54</v>
      </c>
      <c r="E10" s="14" t="n">
        <f aca="false">C10*D10</f>
        <v>1366.4</v>
      </c>
      <c r="F10" s="14" t="n">
        <f aca="false">E10*(1-Assumptions!$B$13)</f>
        <v>683.2</v>
      </c>
      <c r="G10" s="13" t="n">
        <f aca="false">MAX(B10,Assumptions!$B$12)</f>
        <v>160</v>
      </c>
      <c r="H10" s="14" t="n">
        <f aca="false">IF(G10&gt;=100,Assumptions!$B$10,Assumptions!$B$9)</f>
        <v>17.09</v>
      </c>
      <c r="I10" s="14" t="n">
        <f aca="false">G10*H10</f>
        <v>2734.4</v>
      </c>
      <c r="J10" s="14" t="n">
        <f aca="false">I10*(1-Assumptions!$B$13)</f>
        <v>1367.2</v>
      </c>
      <c r="K10" s="15" t="n">
        <f aca="false">J10*Assumptions!$B$14</f>
        <v>1886736</v>
      </c>
    </row>
    <row r="11" customFormat="false" ht="15" hidden="false" customHeight="false" outlineLevel="0" collapsed="false">
      <c r="A11" s="10" t="n">
        <v>50</v>
      </c>
      <c r="B11" s="10" t="n">
        <f aca="false">A11*Assumptions!$B$5</f>
        <v>200</v>
      </c>
      <c r="C11" s="10" t="n">
        <f aca="false">MAX(B11,Assumptions!$B$11)</f>
        <v>200</v>
      </c>
      <c r="D11" s="11" t="n">
        <f aca="false">IF(C11&gt;=100,Assumptions!$B$8,Assumptions!$B$7)</f>
        <v>8.54</v>
      </c>
      <c r="E11" s="11" t="n">
        <f aca="false">C11*D11</f>
        <v>1708</v>
      </c>
      <c r="F11" s="11" t="n">
        <f aca="false">E11*(1-Assumptions!$B$13)</f>
        <v>854</v>
      </c>
      <c r="G11" s="10" t="n">
        <f aca="false">MAX(B11,Assumptions!$B$12)</f>
        <v>200</v>
      </c>
      <c r="H11" s="11" t="n">
        <f aca="false">IF(G11&gt;=100,Assumptions!$B$10,Assumptions!$B$9)</f>
        <v>17.09</v>
      </c>
      <c r="I11" s="11" t="n">
        <f aca="false">G11*H11</f>
        <v>3418</v>
      </c>
      <c r="J11" s="11" t="n">
        <f aca="false">I11*(1-Assumptions!$B$13)</f>
        <v>1709</v>
      </c>
      <c r="K11" s="12" t="n">
        <f aca="false">J11*Assumptions!$B$14</f>
        <v>2358420</v>
      </c>
    </row>
    <row r="13" customFormat="false" ht="30" hidden="false" customHeight="true" outlineLevel="0" collapsed="false">
      <c r="A13" s="16" t="s">
        <v>36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</sheetData>
  <mergeCells count="1">
    <mergeCell ref="A13:K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</cols>
  <sheetData>
    <row r="1" customFormat="false" ht="19.7" hidden="false" customHeight="false" outlineLevel="0" collapsed="false">
      <c r="A1" s="9" t="s">
        <v>37</v>
      </c>
    </row>
    <row r="2" customFormat="false" ht="15" hidden="false" customHeight="false" outlineLevel="0" collapsed="false">
      <c r="A2" s="1" t="s">
        <v>38</v>
      </c>
    </row>
    <row r="4" customFormat="false" ht="26.85" hidden="false" customHeight="false" outlineLevel="0" collapsed="false">
      <c r="A4" s="2" t="s">
        <v>39</v>
      </c>
      <c r="B4" s="2" t="s">
        <v>25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</row>
    <row r="5" customFormat="false" ht="15" hidden="false" customHeight="false" outlineLevel="0" collapsed="false">
      <c r="A5" s="17" t="s">
        <v>45</v>
      </c>
      <c r="B5" s="4" t="n">
        <v>50</v>
      </c>
      <c r="C5" s="4" t="n">
        <v>4</v>
      </c>
      <c r="D5" s="10" t="n">
        <f aca="false">B5*C5</f>
        <v>200</v>
      </c>
      <c r="E5" s="11" t="n">
        <f aca="false">IF(D5&gt;=100,Assumptions!$B$10,Assumptions!$B$9)</f>
        <v>17.09</v>
      </c>
      <c r="F5" s="11" t="n">
        <f aca="false">MAX(D5,Assumptions!$B$12)*E5</f>
        <v>3418</v>
      </c>
      <c r="G5" s="11" t="n">
        <f aca="false">F5*(1-Assumptions!$B$13)</f>
        <v>1709</v>
      </c>
    </row>
    <row r="6" customFormat="false" ht="15" hidden="false" customHeight="false" outlineLevel="0" collapsed="false">
      <c r="A6" s="17" t="s">
        <v>46</v>
      </c>
      <c r="B6" s="4" t="n">
        <v>100</v>
      </c>
      <c r="C6" s="4" t="n">
        <v>6</v>
      </c>
      <c r="D6" s="10" t="n">
        <f aca="false">B6*C6</f>
        <v>600</v>
      </c>
      <c r="E6" s="11" t="n">
        <f aca="false">IF(D6&gt;=100,Assumptions!$B$10,Assumptions!$B$9)</f>
        <v>17.09</v>
      </c>
      <c r="F6" s="11" t="n">
        <f aca="false">MAX(D6,Assumptions!$B$12)*E6</f>
        <v>10254</v>
      </c>
      <c r="G6" s="11" t="n">
        <f aca="false">F6*(1-Assumptions!$B$13)</f>
        <v>5127</v>
      </c>
    </row>
    <row r="7" customFormat="false" ht="15" hidden="false" customHeight="false" outlineLevel="0" collapsed="false">
      <c r="A7" s="18" t="s">
        <v>47</v>
      </c>
      <c r="B7" s="19" t="n">
        <f aca="false">SUM(B5:B6)</f>
        <v>150</v>
      </c>
      <c r="C7" s="20"/>
      <c r="D7" s="19" t="n">
        <f aca="false">SUM(D5:D6)</f>
        <v>800</v>
      </c>
      <c r="E7" s="20"/>
      <c r="F7" s="21" t="n">
        <f aca="false">SUM(F5:F6)</f>
        <v>13672</v>
      </c>
      <c r="G7" s="21" t="n">
        <f aca="false">SUM(G5:G6)</f>
        <v>6836</v>
      </c>
    </row>
    <row r="9" customFormat="false" ht="15" hidden="false" customHeight="false" outlineLevel="0" collapsed="false">
      <c r="A9" s="22" t="s">
        <v>48</v>
      </c>
      <c r="B9" s="23" t="n">
        <f aca="false">G5/B5</f>
        <v>34.18</v>
      </c>
    </row>
    <row r="10" customFormat="false" ht="15" hidden="false" customHeight="false" outlineLevel="0" collapsed="false">
      <c r="A10" s="22" t="s">
        <v>49</v>
      </c>
      <c r="B10" s="23" t="n">
        <f aca="false">G6/B6</f>
        <v>51.27</v>
      </c>
    </row>
    <row r="11" customFormat="false" ht="15" hidden="false" customHeight="false" outlineLevel="0" collapsed="false">
      <c r="A11" s="22" t="s">
        <v>50</v>
      </c>
      <c r="B11" s="23" t="n">
        <f aca="false">MAX(D5,Assumptions!$B$11)*IF(D5&gt;=100,Assumptions!$B$8,Assumptions!$B$7)+MAX(D6,Assumptions!$B$11)*IF(D6&gt;=100,Assumptions!$B$8,Assumptions!$B$7)</f>
        <v>6832</v>
      </c>
    </row>
    <row r="12" customFormat="false" ht="15" hidden="false" customHeight="false" outlineLevel="0" collapsed="false">
      <c r="A12" s="22" t="s">
        <v>51</v>
      </c>
      <c r="B12" s="23" t="n">
        <f aca="false">B11*(1-Assumptions!$B$13)</f>
        <v>3416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2026-06-07T17:24:13Z</dcterms:created>
  <dc:creator>openpyxl</dc:creator>
  <dc:description/>
  <dc:language>en-US</dc:language>
  <cp:lastModifiedBy/>
  <dcterms:modified xsi:type="dcterms:W3CDTF">2026-06-07T17:24:13Z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